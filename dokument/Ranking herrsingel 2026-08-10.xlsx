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iboth\Documents\SJTK - kopia\"/>
    </mc:Choice>
  </mc:AlternateContent>
  <xr:revisionPtr revIDLastSave="0" documentId="8_{1A1DBA84-5B41-4BB7-A536-C9A9C71F8361}" xr6:coauthVersionLast="47" xr6:coauthVersionMax="47" xr10:uidLastSave="{00000000-0000-0000-0000-000000000000}"/>
  <bookViews>
    <workbookView xWindow="-120" yWindow="-120" windowWidth="20730" windowHeight="11160" tabRatio="659" xr2:uid="{00000000-000D-0000-FFFF-FFFF00000000}"/>
  </bookViews>
  <sheets>
    <sheet name="Grunddokument" sheetId="1" r:id="rId1"/>
    <sheet name="Regler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1" i="1"/>
  <c r="C42" i="1"/>
  <c r="C33" i="1"/>
  <c r="C43" i="1"/>
  <c r="C28" i="1"/>
  <c r="C37" i="1"/>
  <c r="C38" i="1"/>
  <c r="C29" i="1"/>
  <c r="C7" i="1"/>
  <c r="C36" i="1"/>
  <c r="C17" i="1"/>
  <c r="C13" i="1"/>
  <c r="C26" i="1"/>
  <c r="C22" i="1"/>
  <c r="C25" i="1"/>
  <c r="C11" i="1"/>
  <c r="C24" i="1"/>
  <c r="C16" i="1"/>
  <c r="C20" i="1"/>
  <c r="C10" i="1"/>
  <c r="C14" i="1"/>
  <c r="C8" i="1"/>
  <c r="C35" i="1"/>
  <c r="C12" i="1"/>
  <c r="C32" i="1" l="1"/>
  <c r="C19" i="1" l="1"/>
  <c r="C18" i="1" l="1"/>
  <c r="C5" i="1"/>
  <c r="C23" i="1"/>
  <c r="C34" i="1"/>
  <c r="C31" i="1"/>
  <c r="C6" i="1"/>
  <c r="C41" i="1"/>
  <c r="C9" i="1"/>
  <c r="C15" i="1"/>
  <c r="C39" i="1"/>
  <c r="C40" i="1"/>
  <c r="C4" i="1"/>
  <c r="C30" i="1"/>
</calcChain>
</file>

<file path=xl/sharedStrings.xml><?xml version="1.0" encoding="utf-8"?>
<sst xmlns="http://schemas.openxmlformats.org/spreadsheetml/2006/main" count="135" uniqueCount="88">
  <si>
    <t>SJTK</t>
  </si>
  <si>
    <t>Ranking herrsingel 2026-08-10</t>
  </si>
  <si>
    <t>poäng</t>
  </si>
  <si>
    <t>SJTK Open inne 2025</t>
  </si>
  <si>
    <t>KM ute 2026</t>
  </si>
  <si>
    <t>KM inne 2026</t>
  </si>
  <si>
    <t>KM ute 2025</t>
  </si>
  <si>
    <t>Grupp spel 2026 omg 2</t>
  </si>
  <si>
    <t>Grupp spel 2026 omg 1</t>
  </si>
  <si>
    <t>Grupp spel 2025 omg 4</t>
  </si>
  <si>
    <t>Grupp spel 2025 omg 3</t>
  </si>
  <si>
    <t>Klas Bergerstam</t>
  </si>
  <si>
    <t>semi</t>
  </si>
  <si>
    <t>vinnare</t>
  </si>
  <si>
    <t>Joakim Portnoff</t>
  </si>
  <si>
    <t>kvart</t>
  </si>
  <si>
    <t>final</t>
  </si>
  <si>
    <t>Mats Jateus</t>
  </si>
  <si>
    <t>Axel Eriksson</t>
  </si>
  <si>
    <t>Kai Olsen</t>
  </si>
  <si>
    <t>Patrik Hidefjäll</t>
  </si>
  <si>
    <t>B vinnare</t>
  </si>
  <si>
    <t>Per Johannesson</t>
  </si>
  <si>
    <t>Anders Drugge</t>
  </si>
  <si>
    <t>Johan Svensson</t>
  </si>
  <si>
    <t>åttondel</t>
  </si>
  <si>
    <t>Axel Nord</t>
  </si>
  <si>
    <t>B final</t>
  </si>
  <si>
    <t>Kemal Kasapovic</t>
  </si>
  <si>
    <t>Juan-Carlos Fernandez</t>
  </si>
  <si>
    <t>Ibrahim Brulic</t>
  </si>
  <si>
    <t>Andreas Israelsson</t>
  </si>
  <si>
    <t>Bo-Emil Sandberg</t>
  </si>
  <si>
    <t>Brian Kirabo</t>
  </si>
  <si>
    <t>Klas Lindgren</t>
  </si>
  <si>
    <t>Tomas Almgren</t>
  </si>
  <si>
    <t>Sergio Diaz</t>
  </si>
  <si>
    <t>Kjell Persson</t>
  </si>
  <si>
    <t>Peter Schedin</t>
  </si>
  <si>
    <t>Johan Österberg</t>
  </si>
  <si>
    <t>Olof Fransson</t>
  </si>
  <si>
    <t>Sam Shabani</t>
  </si>
  <si>
    <t>Julian Lahdo</t>
  </si>
  <si>
    <t xml:space="preserve">Niklas Lamby </t>
  </si>
  <si>
    <t>B semi</t>
  </si>
  <si>
    <t xml:space="preserve">Daniel Albernaz </t>
  </si>
  <si>
    <t>Hernan Leiva</t>
  </si>
  <si>
    <t>Claudio Ruz Arcos</t>
  </si>
  <si>
    <t>Niklas Johnsson</t>
  </si>
  <si>
    <t>Erkki Partanen</t>
  </si>
  <si>
    <t>Henrik Sundberg</t>
  </si>
  <si>
    <t>Robin Paulsson</t>
  </si>
  <si>
    <t>Lukas Jönsson</t>
  </si>
  <si>
    <t>Manaf Kouli</t>
  </si>
  <si>
    <t>Ludvig Eriksson</t>
  </si>
  <si>
    <t>David Björkeholm</t>
  </si>
  <si>
    <t>Petter Högberg</t>
  </si>
  <si>
    <t>Lucas Wahlström</t>
  </si>
  <si>
    <t>Nicolas Hornewall</t>
  </si>
  <si>
    <t>Regler ranking herrsingel</t>
  </si>
  <si>
    <t>KM/SJTK Open</t>
  </si>
  <si>
    <t>plac1</t>
  </si>
  <si>
    <t>segrare</t>
  </si>
  <si>
    <t>Segrare i A-klass erhåller poäng enligt: Deltagarantalet x 10.</t>
  </si>
  <si>
    <t>plac2</t>
  </si>
  <si>
    <t>finalist</t>
  </si>
  <si>
    <t>plac3-4</t>
  </si>
  <si>
    <t>semi..f</t>
  </si>
  <si>
    <t>plac5-8</t>
  </si>
  <si>
    <t>kvartsf</t>
  </si>
  <si>
    <t>plac9-16</t>
  </si>
  <si>
    <t>åtton..f</t>
  </si>
  <si>
    <t>plac17-32</t>
  </si>
  <si>
    <t>sexton..f</t>
  </si>
  <si>
    <t xml:space="preserve">Antal deltagare räknas utifrån antalet som kommit till start (medlemmar och ev icke medlemmar). Spelare som lämnar w o i första omgången räknas inte. </t>
  </si>
  <si>
    <t xml:space="preserve">Spelare som vunnit minst en match (wo räknas) erhåller poäng enligt angiven faktor.  </t>
  </si>
  <si>
    <t>Avrundning uppåt vid halvpoäng annars sedvanliga avrundningsregler.</t>
  </si>
  <si>
    <t>B-segrare får samma poäng som kvartsfinalist A.</t>
  </si>
  <si>
    <t>För övrigt räknas B-klass utifrån B-segrarens poäng.</t>
  </si>
  <si>
    <t xml:space="preserve">De 4 senaste tävlingarna i KM (inne och ute) och/eller SJTK Open (inne och ute) räknas.  </t>
  </si>
  <si>
    <t>Icke medlem tar poäng på samma sätt som medlemmar men tas inte med i sammanställningen.</t>
  </si>
  <si>
    <t>Gruppspel</t>
  </si>
  <si>
    <t>plac</t>
  </si>
  <si>
    <t>Spelare som fullföljt en gruppspelsomgång får poäng beroende på placering.</t>
  </si>
  <si>
    <t>Ev damer (Ingrid) i gruppspelet bortses från.</t>
  </si>
  <si>
    <t xml:space="preserve">De 4 senaste omgångarna i gruppspelet räknas.  </t>
  </si>
  <si>
    <t>Övrigt</t>
  </si>
  <si>
    <t>Spelare som inte är medlemmar längre tas inte bort så länge de har poäng.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</si>
</sst>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rgb="FF000000"/>
      </left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/>
      <bottom style="thin">
        <color indexed="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right"/>
    </xf>
    <xf numFmtId="16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textRotation="90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4" fillId="0" borderId="3" xfId="0" applyFont="1" applyBorder="1"/>
    <xf numFmtId="0" fontId="4" fillId="0" borderId="1" xfId="0" applyFont="1" applyBorder="1"/>
    <xf numFmtId="0" fontId="4" fillId="0" borderId="7" xfId="0" applyFont="1" applyBorder="1"/>
    <xf numFmtId="0" fontId="4" fillId="0" borderId="5" xfId="0" applyFont="1" applyBorder="1"/>
    <xf numFmtId="0" fontId="4" fillId="0" borderId="2" xfId="0" applyFont="1" applyBorder="1"/>
    <xf numFmtId="0" fontId="4" fillId="0" borderId="4" xfId="0" applyFont="1" applyBorder="1"/>
    <xf numFmtId="0" fontId="4" fillId="0" borderId="8" xfId="0" applyFont="1" applyBorder="1"/>
    <xf numFmtId="0" fontId="4" fillId="0" borderId="6" xfId="0" applyFont="1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textRotation="90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1" xfId="0" applyFont="1" applyBorder="1"/>
    <xf numFmtId="0" fontId="4" fillId="0" borderId="9" xfId="0" applyFont="1" applyBorder="1"/>
    <xf numFmtId="0" fontId="4" fillId="0" borderId="1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D43"/>
  <sheetViews>
    <sheetView tabSelected="1" zoomScale="87" zoomScaleNormal="87" workbookViewId="0">
      <selection activeCell="A35" sqref="A35"/>
    </sheetView>
  </sheetViews>
  <sheetFormatPr defaultColWidth="2.5703125" defaultRowHeight="12.75"/>
  <cols>
    <col min="1" max="1" width="4.140625" style="6" customWidth="1"/>
    <col min="2" max="2" width="21.5703125" style="6" customWidth="1"/>
    <col min="3" max="3" width="6.5703125" style="6" bestFit="1" customWidth="1"/>
    <col min="4" max="4" width="5.7109375" style="6" customWidth="1"/>
    <col min="5" max="5" width="9.7109375" style="6" customWidth="1"/>
    <col min="6" max="6" width="6" style="6" customWidth="1"/>
    <col min="7" max="7" width="10" style="6" customWidth="1"/>
    <col min="8" max="8" width="5.85546875" style="6" customWidth="1"/>
    <col min="9" max="9" width="9.7109375" style="6" customWidth="1"/>
    <col min="10" max="10" width="5.7109375" style="6" customWidth="1"/>
    <col min="11" max="11" width="9.7109375" style="6" customWidth="1"/>
    <col min="12" max="12" width="10" style="7" customWidth="1"/>
    <col min="13" max="13" width="6.7109375" style="7" customWidth="1"/>
    <col min="14" max="14" width="7.28515625" style="7" customWidth="1"/>
    <col min="15" max="16" width="6.7109375" style="7" customWidth="1"/>
    <col min="17" max="16384" width="2.5703125" style="6"/>
  </cols>
  <sheetData>
    <row r="1" spans="1:238" ht="18">
      <c r="A1" s="5" t="s">
        <v>0</v>
      </c>
      <c r="M1" s="6"/>
      <c r="N1" s="6"/>
      <c r="O1" s="6"/>
      <c r="P1" s="6"/>
    </row>
    <row r="2" spans="1:238" ht="18">
      <c r="A2" s="5" t="s">
        <v>1</v>
      </c>
      <c r="M2" s="6"/>
      <c r="N2" s="6"/>
      <c r="O2" s="6"/>
      <c r="P2" s="6"/>
    </row>
    <row r="3" spans="1:238" s="8" customFormat="1" ht="52.5" customHeight="1">
      <c r="A3" s="21"/>
      <c r="B3" s="21"/>
      <c r="C3" s="9" t="s">
        <v>2</v>
      </c>
      <c r="D3" s="9" t="s">
        <v>3</v>
      </c>
      <c r="E3" s="9"/>
      <c r="F3" s="9" t="s">
        <v>4</v>
      </c>
      <c r="G3" s="9"/>
      <c r="H3" s="9" t="s">
        <v>5</v>
      </c>
      <c r="I3" s="9"/>
      <c r="J3" s="9" t="s">
        <v>6</v>
      </c>
      <c r="K3" s="9"/>
      <c r="L3" s="10"/>
      <c r="M3" s="9" t="s">
        <v>7</v>
      </c>
      <c r="N3" s="9" t="s">
        <v>8</v>
      </c>
      <c r="O3" s="9" t="s">
        <v>9</v>
      </c>
      <c r="P3" s="9" t="s">
        <v>10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3"/>
      <c r="DC3" s="23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</row>
    <row r="4" spans="1:238">
      <c r="A4" s="11">
        <v>1</v>
      </c>
      <c r="B4" s="19" t="s">
        <v>11</v>
      </c>
      <c r="C4" s="24">
        <f>SUM(D4:P4)</f>
        <v>476</v>
      </c>
      <c r="D4" s="11">
        <v>86</v>
      </c>
      <c r="E4" s="19" t="s">
        <v>12</v>
      </c>
      <c r="F4" s="25">
        <v>68</v>
      </c>
      <c r="G4" s="13" t="s">
        <v>12</v>
      </c>
      <c r="H4" s="12">
        <v>190</v>
      </c>
      <c r="I4" s="13" t="s">
        <v>13</v>
      </c>
      <c r="J4" s="12">
        <v>77</v>
      </c>
      <c r="K4" s="13" t="s">
        <v>12</v>
      </c>
      <c r="L4" s="18"/>
      <c r="M4" s="14">
        <v>16</v>
      </c>
      <c r="N4" s="14">
        <v>14</v>
      </c>
      <c r="O4" s="14">
        <v>14</v>
      </c>
      <c r="P4" s="14">
        <v>11</v>
      </c>
    </row>
    <row r="5" spans="1:238">
      <c r="A5" s="11">
        <v>2</v>
      </c>
      <c r="B5" s="12" t="s">
        <v>14</v>
      </c>
      <c r="C5" s="24">
        <f>SUM(D5:P5)</f>
        <v>422</v>
      </c>
      <c r="D5" s="11">
        <v>48</v>
      </c>
      <c r="E5" s="19" t="s">
        <v>15</v>
      </c>
      <c r="F5" s="25">
        <v>150</v>
      </c>
      <c r="G5" s="13" t="s">
        <v>13</v>
      </c>
      <c r="H5" s="12">
        <v>133</v>
      </c>
      <c r="I5" s="13" t="s">
        <v>16</v>
      </c>
      <c r="J5" s="12">
        <v>43</v>
      </c>
      <c r="K5" s="13" t="s">
        <v>15</v>
      </c>
      <c r="L5" s="18"/>
      <c r="M5" s="14">
        <v>31</v>
      </c>
      <c r="N5" s="14">
        <v>12</v>
      </c>
      <c r="O5" s="14">
        <v>3</v>
      </c>
      <c r="P5" s="14">
        <v>2</v>
      </c>
    </row>
    <row r="6" spans="1:238">
      <c r="A6" s="11">
        <v>3</v>
      </c>
      <c r="B6" s="12" t="s">
        <v>17</v>
      </c>
      <c r="C6" s="24">
        <f>SUM(D6:P6)</f>
        <v>308</v>
      </c>
      <c r="D6" s="11"/>
      <c r="E6" s="19"/>
      <c r="F6" s="25"/>
      <c r="G6" s="13"/>
      <c r="H6" s="12"/>
      <c r="I6" s="13"/>
      <c r="J6" s="12">
        <v>170</v>
      </c>
      <c r="K6" s="13" t="s">
        <v>13</v>
      </c>
      <c r="L6" s="18"/>
      <c r="M6" s="14"/>
      <c r="N6" s="14">
        <v>18</v>
      </c>
      <c r="O6" s="14">
        <v>60</v>
      </c>
      <c r="P6" s="14">
        <v>60</v>
      </c>
    </row>
    <row r="7" spans="1:238">
      <c r="A7" s="11">
        <v>4</v>
      </c>
      <c r="B7" s="19" t="s">
        <v>18</v>
      </c>
      <c r="C7" s="24">
        <f>SUM(D7:P7)</f>
        <v>244</v>
      </c>
      <c r="D7" s="11">
        <v>190</v>
      </c>
      <c r="E7" s="19" t="s">
        <v>13</v>
      </c>
      <c r="F7" s="25"/>
      <c r="G7" s="13"/>
      <c r="H7" s="12"/>
      <c r="I7" s="13"/>
      <c r="J7" s="12"/>
      <c r="K7" s="13"/>
      <c r="L7" s="18"/>
      <c r="M7" s="14"/>
      <c r="N7" s="14"/>
      <c r="O7" s="14">
        <v>42</v>
      </c>
      <c r="P7" s="14">
        <v>12</v>
      </c>
    </row>
    <row r="8" spans="1:238">
      <c r="A8" s="11">
        <v>5</v>
      </c>
      <c r="B8" s="12" t="s">
        <v>19</v>
      </c>
      <c r="C8" s="24">
        <f>SUM(D8:P8)</f>
        <v>235</v>
      </c>
      <c r="D8" s="11">
        <v>86</v>
      </c>
      <c r="E8" s="19" t="s">
        <v>12</v>
      </c>
      <c r="F8" s="25"/>
      <c r="G8" s="13"/>
      <c r="H8" s="12"/>
      <c r="I8" s="13"/>
      <c r="J8" s="12">
        <v>43</v>
      </c>
      <c r="K8" s="13" t="s">
        <v>15</v>
      </c>
      <c r="L8" s="18"/>
      <c r="M8" s="14">
        <v>42</v>
      </c>
      <c r="N8" s="14">
        <v>23</v>
      </c>
      <c r="O8" s="14">
        <v>18</v>
      </c>
      <c r="P8" s="14">
        <v>23</v>
      </c>
    </row>
    <row r="9" spans="1:238">
      <c r="A9" s="11">
        <v>6</v>
      </c>
      <c r="B9" s="19" t="s">
        <v>20</v>
      </c>
      <c r="C9" s="24">
        <f>SUM(D9:P9)</f>
        <v>207</v>
      </c>
      <c r="D9" s="11">
        <v>133</v>
      </c>
      <c r="E9" s="19" t="s">
        <v>16</v>
      </c>
      <c r="F9" s="25"/>
      <c r="G9" s="13"/>
      <c r="H9" s="12"/>
      <c r="I9" s="13"/>
      <c r="J9" s="12">
        <v>43</v>
      </c>
      <c r="K9" s="13" t="s">
        <v>21</v>
      </c>
      <c r="L9" s="18"/>
      <c r="M9" s="14">
        <v>8</v>
      </c>
      <c r="N9" s="14">
        <v>9</v>
      </c>
      <c r="O9" s="14">
        <v>7</v>
      </c>
      <c r="P9" s="14">
        <v>7</v>
      </c>
    </row>
    <row r="10" spans="1:238">
      <c r="A10" s="11">
        <v>7</v>
      </c>
      <c r="B10" s="12" t="s">
        <v>22</v>
      </c>
      <c r="C10" s="24">
        <f>SUM(D10:P10)</f>
        <v>205</v>
      </c>
      <c r="D10" s="11">
        <v>48</v>
      </c>
      <c r="E10" s="19" t="s">
        <v>15</v>
      </c>
      <c r="F10" s="25">
        <v>105</v>
      </c>
      <c r="G10" s="13" t="s">
        <v>16</v>
      </c>
      <c r="H10" s="12"/>
      <c r="I10" s="13"/>
      <c r="J10" s="12"/>
      <c r="K10" s="13"/>
      <c r="L10" s="18"/>
      <c r="M10" s="14">
        <v>23</v>
      </c>
      <c r="N10" s="14">
        <v>11</v>
      </c>
      <c r="O10" s="14">
        <v>8</v>
      </c>
      <c r="P10" s="14">
        <v>10</v>
      </c>
    </row>
    <row r="11" spans="1:238">
      <c r="A11" s="11">
        <v>8</v>
      </c>
      <c r="B11" s="12" t="s">
        <v>23</v>
      </c>
      <c r="C11" s="24">
        <f>SUM(D11:P11)</f>
        <v>177</v>
      </c>
      <c r="D11" s="11"/>
      <c r="E11" s="19"/>
      <c r="F11" s="25">
        <v>68</v>
      </c>
      <c r="G11" s="13" t="s">
        <v>12</v>
      </c>
      <c r="H11" s="12"/>
      <c r="I11" s="13"/>
      <c r="J11" s="12">
        <v>77</v>
      </c>
      <c r="K11" s="13" t="s">
        <v>12</v>
      </c>
      <c r="L11" s="18"/>
      <c r="M11" s="14">
        <v>9</v>
      </c>
      <c r="N11" s="14">
        <v>10</v>
      </c>
      <c r="O11" s="14"/>
      <c r="P11" s="14">
        <v>13</v>
      </c>
    </row>
    <row r="12" spans="1:238">
      <c r="A12" s="11">
        <v>9</v>
      </c>
      <c r="B12" s="12" t="s">
        <v>24</v>
      </c>
      <c r="C12" s="24">
        <f>SUM(D12:P12)</f>
        <v>162</v>
      </c>
      <c r="D12" s="11">
        <v>48</v>
      </c>
      <c r="E12" s="19" t="s">
        <v>15</v>
      </c>
      <c r="F12" s="25"/>
      <c r="G12" s="13"/>
      <c r="H12" s="12"/>
      <c r="I12" s="13"/>
      <c r="J12" s="12">
        <v>24</v>
      </c>
      <c r="K12" s="13" t="s">
        <v>25</v>
      </c>
      <c r="L12" s="18"/>
      <c r="M12" s="14">
        <v>18</v>
      </c>
      <c r="N12" s="14">
        <v>31</v>
      </c>
      <c r="O12" s="14">
        <v>23</v>
      </c>
      <c r="P12" s="14">
        <v>18</v>
      </c>
    </row>
    <row r="13" spans="1:238">
      <c r="A13" s="11">
        <v>10</v>
      </c>
      <c r="B13" s="12" t="s">
        <v>26</v>
      </c>
      <c r="C13" s="24">
        <f>SUM(D13:P13)</f>
        <v>150</v>
      </c>
      <c r="D13" s="11">
        <v>27</v>
      </c>
      <c r="E13" s="19" t="s">
        <v>25</v>
      </c>
      <c r="F13" s="25"/>
      <c r="G13" s="13"/>
      <c r="H13" s="12">
        <v>86</v>
      </c>
      <c r="I13" s="13" t="s">
        <v>12</v>
      </c>
      <c r="J13" s="12">
        <v>30</v>
      </c>
      <c r="K13" s="13" t="s">
        <v>27</v>
      </c>
      <c r="L13" s="18"/>
      <c r="M13" s="14"/>
      <c r="N13" s="14">
        <v>5</v>
      </c>
      <c r="O13" s="14">
        <v>2</v>
      </c>
      <c r="P13" s="14"/>
    </row>
    <row r="14" spans="1:238">
      <c r="A14" s="11">
        <v>11</v>
      </c>
      <c r="B14" s="19" t="s">
        <v>28</v>
      </c>
      <c r="C14" s="24">
        <f>SUM(D14:P14)</f>
        <v>149</v>
      </c>
      <c r="D14" s="11"/>
      <c r="E14" s="19"/>
      <c r="F14" s="25"/>
      <c r="G14" s="13"/>
      <c r="H14" s="12"/>
      <c r="I14" s="13"/>
      <c r="J14" s="12"/>
      <c r="K14" s="13"/>
      <c r="L14" s="18"/>
      <c r="M14" s="14">
        <v>60</v>
      </c>
      <c r="N14" s="14">
        <v>42</v>
      </c>
      <c r="O14" s="14">
        <v>31</v>
      </c>
      <c r="P14" s="14">
        <v>16</v>
      </c>
    </row>
    <row r="15" spans="1:238">
      <c r="A15" s="11">
        <v>12</v>
      </c>
      <c r="B15" s="12" t="s">
        <v>29</v>
      </c>
      <c r="C15" s="24">
        <f>SUM(D15:P15)</f>
        <v>125</v>
      </c>
      <c r="D15" s="11"/>
      <c r="E15" s="19"/>
      <c r="F15" s="25"/>
      <c r="G15" s="13"/>
      <c r="H15" s="12">
        <v>86</v>
      </c>
      <c r="I15" s="13" t="s">
        <v>12</v>
      </c>
      <c r="J15" s="12"/>
      <c r="K15" s="13"/>
      <c r="L15" s="18"/>
      <c r="M15" s="14">
        <v>10</v>
      </c>
      <c r="N15" s="14">
        <v>6</v>
      </c>
      <c r="O15" s="14">
        <v>9</v>
      </c>
      <c r="P15" s="14">
        <v>14</v>
      </c>
    </row>
    <row r="16" spans="1:238">
      <c r="A16" s="11">
        <v>13</v>
      </c>
      <c r="B16" s="12" t="s">
        <v>30</v>
      </c>
      <c r="C16" s="24">
        <f>SUM(D16:P16)</f>
        <v>124</v>
      </c>
      <c r="D16" s="11"/>
      <c r="E16" s="19"/>
      <c r="F16" s="25"/>
      <c r="G16" s="13"/>
      <c r="H16" s="12"/>
      <c r="I16" s="13"/>
      <c r="J16" s="12">
        <v>119</v>
      </c>
      <c r="K16" s="13" t="s">
        <v>16</v>
      </c>
      <c r="L16" s="18"/>
      <c r="M16" s="14"/>
      <c r="N16" s="14"/>
      <c r="O16" s="14"/>
      <c r="P16" s="14">
        <v>5</v>
      </c>
    </row>
    <row r="17" spans="1:16">
      <c r="A17" s="11">
        <v>14</v>
      </c>
      <c r="B17" s="19" t="s">
        <v>31</v>
      </c>
      <c r="C17" s="24">
        <f>SUM(D17:P17)</f>
        <v>99</v>
      </c>
      <c r="D17" s="11">
        <v>34</v>
      </c>
      <c r="E17" s="19" t="s">
        <v>27</v>
      </c>
      <c r="F17" s="25">
        <v>38</v>
      </c>
      <c r="G17" s="13" t="s">
        <v>21</v>
      </c>
      <c r="H17" s="12">
        <v>27</v>
      </c>
      <c r="I17" s="13" t="s">
        <v>25</v>
      </c>
      <c r="J17" s="12"/>
      <c r="K17" s="13"/>
      <c r="L17" s="18"/>
      <c r="M17" s="14"/>
      <c r="N17" s="14"/>
      <c r="O17" s="14"/>
      <c r="P17" s="14"/>
    </row>
    <row r="18" spans="1:16">
      <c r="A18" s="11">
        <v>15</v>
      </c>
      <c r="B18" s="12" t="s">
        <v>32</v>
      </c>
      <c r="C18" s="24">
        <f>SUM(D18:P18)</f>
        <v>98</v>
      </c>
      <c r="D18" s="11"/>
      <c r="E18" s="19"/>
      <c r="F18" s="25"/>
      <c r="G18" s="13"/>
      <c r="H18" s="12"/>
      <c r="I18" s="13"/>
      <c r="J18" s="12">
        <v>43</v>
      </c>
      <c r="K18" s="13" t="s">
        <v>15</v>
      </c>
      <c r="L18" s="18"/>
      <c r="M18" s="14"/>
      <c r="N18" s="14"/>
      <c r="O18" s="14">
        <v>13</v>
      </c>
      <c r="P18" s="14">
        <v>42</v>
      </c>
    </row>
    <row r="19" spans="1:16">
      <c r="A19" s="11">
        <v>16</v>
      </c>
      <c r="B19" s="19" t="s">
        <v>33</v>
      </c>
      <c r="C19" s="24">
        <f>SUM(D19:P19)</f>
        <v>91</v>
      </c>
      <c r="D19" s="11">
        <v>48</v>
      </c>
      <c r="E19" s="19" t="s">
        <v>15</v>
      </c>
      <c r="F19" s="25"/>
      <c r="G19" s="13"/>
      <c r="H19" s="12"/>
      <c r="I19" s="13"/>
      <c r="J19" s="12">
        <v>43</v>
      </c>
      <c r="K19" s="13" t="s">
        <v>15</v>
      </c>
      <c r="L19" s="18"/>
      <c r="M19" s="14"/>
      <c r="N19" s="14"/>
      <c r="O19" s="14"/>
      <c r="P19" s="14"/>
    </row>
    <row r="20" spans="1:16">
      <c r="A20" s="11"/>
      <c r="B20" s="19" t="s">
        <v>34</v>
      </c>
      <c r="C20" s="24">
        <f>SUM(D20:P20)</f>
        <v>91</v>
      </c>
      <c r="D20" s="11"/>
      <c r="E20" s="19"/>
      <c r="F20" s="25"/>
      <c r="G20" s="13"/>
      <c r="H20" s="12">
        <v>48</v>
      </c>
      <c r="I20" s="13" t="s">
        <v>15</v>
      </c>
      <c r="J20" s="12"/>
      <c r="K20" s="13"/>
      <c r="L20" s="18"/>
      <c r="M20" s="14">
        <v>12</v>
      </c>
      <c r="N20" s="14">
        <v>13</v>
      </c>
      <c r="O20" s="14">
        <v>10</v>
      </c>
      <c r="P20" s="14">
        <v>8</v>
      </c>
    </row>
    <row r="21" spans="1:16">
      <c r="A21" s="11">
        <v>18</v>
      </c>
      <c r="B21" s="12" t="s">
        <v>35</v>
      </c>
      <c r="C21" s="24">
        <f>SUM(D21:P21)</f>
        <v>86</v>
      </c>
      <c r="D21" s="11"/>
      <c r="E21" s="19"/>
      <c r="F21" s="25">
        <v>38</v>
      </c>
      <c r="G21" s="13" t="s">
        <v>15</v>
      </c>
      <c r="H21" s="12">
        <v>48</v>
      </c>
      <c r="I21" s="13" t="s">
        <v>15</v>
      </c>
      <c r="J21" s="12"/>
      <c r="K21" s="13"/>
      <c r="L21" s="18"/>
      <c r="M21" s="14"/>
      <c r="N21" s="14"/>
      <c r="O21" s="14"/>
      <c r="P21" s="14"/>
    </row>
    <row r="22" spans="1:16">
      <c r="A22" s="11">
        <v>19</v>
      </c>
      <c r="B22" s="12" t="s">
        <v>36</v>
      </c>
      <c r="C22" s="24">
        <f>SUM(D22:P22)</f>
        <v>80</v>
      </c>
      <c r="D22" s="11">
        <v>48</v>
      </c>
      <c r="E22" s="19" t="s">
        <v>21</v>
      </c>
      <c r="F22" s="25"/>
      <c r="G22" s="13"/>
      <c r="H22" s="12">
        <v>27</v>
      </c>
      <c r="I22" s="13" t="s">
        <v>25</v>
      </c>
      <c r="J22" s="12"/>
      <c r="K22" s="13"/>
      <c r="L22" s="18"/>
      <c r="M22" s="14">
        <v>3</v>
      </c>
      <c r="N22" s="14">
        <v>2</v>
      </c>
      <c r="O22" s="14"/>
      <c r="P22" s="14"/>
    </row>
    <row r="23" spans="1:16">
      <c r="A23" s="11">
        <v>20</v>
      </c>
      <c r="B23" s="12" t="s">
        <v>37</v>
      </c>
      <c r="C23" s="24">
        <f>SUM(D23:P23)</f>
        <v>77</v>
      </c>
      <c r="D23" s="11"/>
      <c r="E23" s="19"/>
      <c r="F23" s="25"/>
      <c r="G23" s="13"/>
      <c r="H23" s="12"/>
      <c r="I23" s="13"/>
      <c r="J23" s="12"/>
      <c r="K23" s="13"/>
      <c r="L23" s="18"/>
      <c r="M23" s="14">
        <v>14</v>
      </c>
      <c r="N23" s="14">
        <v>16</v>
      </c>
      <c r="O23" s="14">
        <v>16</v>
      </c>
      <c r="P23" s="14">
        <v>31</v>
      </c>
    </row>
    <row r="24" spans="1:16">
      <c r="A24" s="11">
        <v>21</v>
      </c>
      <c r="B24" s="12" t="s">
        <v>38</v>
      </c>
      <c r="C24" s="24">
        <f>SUM(D24:P24)</f>
        <v>68</v>
      </c>
      <c r="D24" s="11"/>
      <c r="E24" s="19"/>
      <c r="F24" s="25"/>
      <c r="G24" s="13"/>
      <c r="H24" s="12">
        <v>34</v>
      </c>
      <c r="I24" s="13" t="s">
        <v>27</v>
      </c>
      <c r="J24" s="12"/>
      <c r="K24" s="13"/>
      <c r="L24" s="18"/>
      <c r="M24" s="14">
        <v>11</v>
      </c>
      <c r="N24" s="14">
        <v>8</v>
      </c>
      <c r="O24" s="14">
        <v>6</v>
      </c>
      <c r="P24" s="14">
        <v>9</v>
      </c>
    </row>
    <row r="25" spans="1:16">
      <c r="A25" s="11">
        <v>22</v>
      </c>
      <c r="B25" s="12" t="s">
        <v>39</v>
      </c>
      <c r="C25" s="24">
        <f>SUM(D25:P25)</f>
        <v>65</v>
      </c>
      <c r="D25" s="11">
        <v>27</v>
      </c>
      <c r="E25" s="19" t="s">
        <v>25</v>
      </c>
      <c r="F25" s="25">
        <v>38</v>
      </c>
      <c r="G25" s="13" t="s">
        <v>15</v>
      </c>
      <c r="H25" s="12"/>
      <c r="I25" s="13"/>
      <c r="J25" s="12"/>
      <c r="K25" s="13"/>
      <c r="L25" s="18"/>
      <c r="M25" s="14"/>
      <c r="N25" s="14"/>
      <c r="O25" s="14"/>
      <c r="P25" s="14"/>
    </row>
    <row r="26" spans="1:16">
      <c r="A26" s="11"/>
      <c r="B26" s="12" t="s">
        <v>40</v>
      </c>
      <c r="C26" s="24">
        <f>SUM(D26:P26)</f>
        <v>65</v>
      </c>
      <c r="D26" s="11"/>
      <c r="E26" s="19"/>
      <c r="F26" s="25"/>
      <c r="G26" s="13"/>
      <c r="H26" s="12">
        <v>48</v>
      </c>
      <c r="I26" s="13" t="s">
        <v>15</v>
      </c>
      <c r="J26" s="12"/>
      <c r="K26" s="13"/>
      <c r="L26" s="18"/>
      <c r="M26" s="14">
        <v>6</v>
      </c>
      <c r="N26" s="14">
        <v>7</v>
      </c>
      <c r="O26" s="14">
        <v>4</v>
      </c>
      <c r="P26" s="14"/>
    </row>
    <row r="27" spans="1:16">
      <c r="A27" s="11"/>
      <c r="B27" s="12" t="s">
        <v>41</v>
      </c>
      <c r="C27" s="24">
        <f>SUM(D27:P27)</f>
        <v>65</v>
      </c>
      <c r="D27" s="11"/>
      <c r="E27" s="19"/>
      <c r="F27" s="25">
        <v>38</v>
      </c>
      <c r="G27" s="13" t="s">
        <v>15</v>
      </c>
      <c r="H27" s="12">
        <v>27</v>
      </c>
      <c r="I27" s="13" t="s">
        <v>25</v>
      </c>
      <c r="J27" s="12"/>
      <c r="K27" s="13"/>
      <c r="L27" s="18"/>
      <c r="M27" s="14"/>
      <c r="N27" s="14"/>
      <c r="O27" s="14"/>
      <c r="P27" s="14"/>
    </row>
    <row r="28" spans="1:16">
      <c r="A28" s="11">
        <v>25</v>
      </c>
      <c r="B28" s="12" t="s">
        <v>42</v>
      </c>
      <c r="C28" s="24">
        <f>SUM(D28:P28)</f>
        <v>60</v>
      </c>
      <c r="D28" s="11"/>
      <c r="E28" s="19"/>
      <c r="F28" s="25"/>
      <c r="G28" s="13"/>
      <c r="H28" s="12">
        <v>48</v>
      </c>
      <c r="I28" s="13" t="s">
        <v>15</v>
      </c>
      <c r="J28" s="12"/>
      <c r="K28" s="13"/>
      <c r="L28" s="18"/>
      <c r="M28" s="14"/>
      <c r="N28" s="14"/>
      <c r="O28" s="14">
        <v>12</v>
      </c>
      <c r="P28" s="14"/>
    </row>
    <row r="29" spans="1:16">
      <c r="A29" s="11">
        <v>26</v>
      </c>
      <c r="B29" s="12" t="s">
        <v>43</v>
      </c>
      <c r="C29" s="24">
        <f>SUM(D29:P29)</f>
        <v>57</v>
      </c>
      <c r="D29" s="11"/>
      <c r="E29" s="19"/>
      <c r="F29" s="25">
        <v>38</v>
      </c>
      <c r="G29" s="13" t="s">
        <v>15</v>
      </c>
      <c r="H29" s="12"/>
      <c r="I29" s="13"/>
      <c r="J29" s="12">
        <v>19</v>
      </c>
      <c r="K29" s="13" t="s">
        <v>44</v>
      </c>
      <c r="L29" s="18"/>
      <c r="M29" s="14"/>
      <c r="N29" s="14"/>
      <c r="O29" s="14"/>
      <c r="P29" s="14"/>
    </row>
    <row r="30" spans="1:16">
      <c r="A30" s="11">
        <v>27</v>
      </c>
      <c r="B30" s="12" t="s">
        <v>45</v>
      </c>
      <c r="C30" s="24">
        <f>SUM(D30:P30)</f>
        <v>48</v>
      </c>
      <c r="D30" s="11"/>
      <c r="E30" s="19"/>
      <c r="F30" s="25"/>
      <c r="G30" s="13"/>
      <c r="H30" s="12">
        <v>48</v>
      </c>
      <c r="I30" s="13" t="s">
        <v>21</v>
      </c>
      <c r="J30" s="12"/>
      <c r="K30" s="13"/>
      <c r="L30" s="18"/>
      <c r="M30" s="14"/>
      <c r="N30" s="14"/>
      <c r="O30" s="14"/>
      <c r="P30" s="14"/>
    </row>
    <row r="31" spans="1:16">
      <c r="A31" s="11"/>
      <c r="B31" s="12" t="s">
        <v>46</v>
      </c>
      <c r="C31" s="24">
        <f>SUM(D31:P31)</f>
        <v>48</v>
      </c>
      <c r="D31" s="11"/>
      <c r="E31" s="19"/>
      <c r="F31" s="25">
        <v>27</v>
      </c>
      <c r="G31" s="13" t="s">
        <v>27</v>
      </c>
      <c r="H31" s="12"/>
      <c r="I31" s="13"/>
      <c r="J31" s="12">
        <v>19</v>
      </c>
      <c r="K31" s="13" t="s">
        <v>44</v>
      </c>
      <c r="L31" s="18"/>
      <c r="M31" s="14">
        <v>1</v>
      </c>
      <c r="N31" s="14">
        <v>1</v>
      </c>
      <c r="O31" s="14"/>
      <c r="P31" s="14"/>
    </row>
    <row r="32" spans="1:16">
      <c r="A32" s="11">
        <v>29</v>
      </c>
      <c r="B32" s="19" t="s">
        <v>47</v>
      </c>
      <c r="C32" s="24">
        <f>SUM(D32:P32)</f>
        <v>39</v>
      </c>
      <c r="D32" s="11"/>
      <c r="E32" s="19"/>
      <c r="F32" s="25">
        <v>17</v>
      </c>
      <c r="G32" s="13" t="s">
        <v>44</v>
      </c>
      <c r="H32" s="12">
        <v>22</v>
      </c>
      <c r="I32" s="13" t="s">
        <v>44</v>
      </c>
      <c r="J32" s="12"/>
      <c r="K32" s="13"/>
      <c r="L32" s="18"/>
      <c r="M32" s="14"/>
      <c r="N32" s="14"/>
      <c r="O32" s="14"/>
      <c r="P32" s="14"/>
    </row>
    <row r="33" spans="1:16">
      <c r="A33" s="11"/>
      <c r="B33" s="12" t="s">
        <v>48</v>
      </c>
      <c r="C33" s="24">
        <f>SUM(D33:P33)</f>
        <v>39</v>
      </c>
      <c r="D33" s="11">
        <v>22</v>
      </c>
      <c r="E33" s="19" t="s">
        <v>44</v>
      </c>
      <c r="F33" s="25">
        <v>17</v>
      </c>
      <c r="G33" s="13" t="s">
        <v>44</v>
      </c>
      <c r="H33" s="12"/>
      <c r="I33" s="13"/>
      <c r="J33" s="12"/>
      <c r="K33" s="13"/>
      <c r="L33" s="18"/>
      <c r="M33" s="14"/>
      <c r="N33" s="14"/>
      <c r="O33" s="14"/>
      <c r="P33" s="14"/>
    </row>
    <row r="34" spans="1:16">
      <c r="A34" s="11">
        <v>31</v>
      </c>
      <c r="B34" s="12" t="s">
        <v>49</v>
      </c>
      <c r="C34" s="24">
        <f>SUM(D34:P34)</f>
        <v>22</v>
      </c>
      <c r="D34" s="11">
        <v>22</v>
      </c>
      <c r="E34" s="19" t="s">
        <v>44</v>
      </c>
      <c r="F34" s="25"/>
      <c r="G34" s="13"/>
      <c r="H34" s="12"/>
      <c r="I34" s="13"/>
      <c r="J34" s="12"/>
      <c r="K34" s="13"/>
      <c r="L34" s="18"/>
      <c r="M34" s="14"/>
      <c r="N34" s="14"/>
      <c r="O34" s="14"/>
      <c r="P34" s="14"/>
    </row>
    <row r="35" spans="1:16">
      <c r="A35" s="11"/>
      <c r="B35" s="12" t="s">
        <v>50</v>
      </c>
      <c r="C35" s="24">
        <f>SUM(D35:P35)</f>
        <v>22</v>
      </c>
      <c r="D35" s="11"/>
      <c r="E35" s="19"/>
      <c r="F35" s="25"/>
      <c r="G35" s="13"/>
      <c r="H35" s="12">
        <v>22</v>
      </c>
      <c r="I35" s="13" t="s">
        <v>44</v>
      </c>
      <c r="J35" s="12"/>
      <c r="K35" s="13"/>
      <c r="L35" s="18"/>
      <c r="M35" s="14"/>
      <c r="N35" s="14"/>
      <c r="O35" s="14"/>
      <c r="P35" s="14"/>
    </row>
    <row r="36" spans="1:16">
      <c r="A36" s="11">
        <v>33</v>
      </c>
      <c r="B36" s="12" t="s">
        <v>51</v>
      </c>
      <c r="C36" s="24">
        <f>SUM(D36:P36)</f>
        <v>19</v>
      </c>
      <c r="D36" s="11"/>
      <c r="E36" s="19"/>
      <c r="F36" s="25"/>
      <c r="G36" s="13"/>
      <c r="H36" s="12"/>
      <c r="I36" s="13"/>
      <c r="J36" s="12"/>
      <c r="K36" s="13"/>
      <c r="L36" s="18"/>
      <c r="M36" s="14">
        <v>7</v>
      </c>
      <c r="N36" s="14">
        <v>4</v>
      </c>
      <c r="O36" s="14">
        <v>5</v>
      </c>
      <c r="P36" s="14">
        <v>3</v>
      </c>
    </row>
    <row r="37" spans="1:16">
      <c r="A37" s="11">
        <v>34</v>
      </c>
      <c r="B37" s="12" t="s">
        <v>52</v>
      </c>
      <c r="C37" s="24">
        <f>SUM(D37:P37)</f>
        <v>17</v>
      </c>
      <c r="D37" s="11"/>
      <c r="E37" s="19"/>
      <c r="F37" s="25"/>
      <c r="G37" s="13"/>
      <c r="H37" s="12"/>
      <c r="I37" s="13"/>
      <c r="J37" s="12"/>
      <c r="K37" s="13"/>
      <c r="L37" s="18"/>
      <c r="M37" s="14">
        <v>13</v>
      </c>
      <c r="N37" s="14">
        <v>3</v>
      </c>
      <c r="O37" s="14"/>
      <c r="P37" s="14">
        <v>1</v>
      </c>
    </row>
    <row r="38" spans="1:16">
      <c r="A38" s="11">
        <v>35</v>
      </c>
      <c r="B38" s="12" t="s">
        <v>53</v>
      </c>
      <c r="C38" s="24">
        <f>SUM(D38:P38)</f>
        <v>15</v>
      </c>
      <c r="D38" s="11"/>
      <c r="E38" s="19"/>
      <c r="F38" s="25"/>
      <c r="G38" s="13"/>
      <c r="H38" s="12"/>
      <c r="I38" s="13"/>
      <c r="J38" s="12"/>
      <c r="K38" s="13"/>
      <c r="L38" s="18"/>
      <c r="M38" s="14"/>
      <c r="N38" s="14"/>
      <c r="O38" s="14">
        <v>11</v>
      </c>
      <c r="P38" s="14">
        <v>4</v>
      </c>
    </row>
    <row r="39" spans="1:16">
      <c r="A39" s="11">
        <v>36</v>
      </c>
      <c r="B39" s="15" t="s">
        <v>54</v>
      </c>
      <c r="C39" s="24">
        <f>SUM(D39:P39)</f>
        <v>6</v>
      </c>
      <c r="D39" s="16"/>
      <c r="E39" s="20"/>
      <c r="F39" s="26"/>
      <c r="G39" s="17"/>
      <c r="H39" s="15"/>
      <c r="I39" s="17"/>
      <c r="J39" s="15"/>
      <c r="K39" s="17"/>
      <c r="L39" s="18"/>
      <c r="M39" s="14"/>
      <c r="N39" s="14"/>
      <c r="O39" s="14"/>
      <c r="P39" s="14">
        <v>6</v>
      </c>
    </row>
    <row r="40" spans="1:16">
      <c r="A40" s="11">
        <v>37</v>
      </c>
      <c r="B40" s="12" t="s">
        <v>55</v>
      </c>
      <c r="C40" s="24">
        <f>SUM(D40:P40)</f>
        <v>5</v>
      </c>
      <c r="D40" s="11"/>
      <c r="E40" s="19"/>
      <c r="F40" s="25"/>
      <c r="G40" s="13"/>
      <c r="H40" s="12"/>
      <c r="I40" s="13"/>
      <c r="J40" s="12"/>
      <c r="K40" s="13"/>
      <c r="L40" s="18"/>
      <c r="M40" s="14">
        <v>5</v>
      </c>
      <c r="N40" s="14"/>
      <c r="O40" s="14"/>
      <c r="P40" s="14"/>
    </row>
    <row r="41" spans="1:16">
      <c r="A41" s="11">
        <v>38</v>
      </c>
      <c r="B41" s="19" t="s">
        <v>56</v>
      </c>
      <c r="C41" s="24">
        <f>SUM(D41:P41)</f>
        <v>4</v>
      </c>
      <c r="D41" s="11"/>
      <c r="E41" s="19"/>
      <c r="F41" s="25"/>
      <c r="G41" s="13"/>
      <c r="H41" s="12"/>
      <c r="I41" s="13"/>
      <c r="J41" s="12"/>
      <c r="K41" s="13"/>
      <c r="L41" s="18"/>
      <c r="M41" s="14">
        <v>4</v>
      </c>
      <c r="N41" s="14"/>
      <c r="O41" s="14"/>
      <c r="P41" s="14"/>
    </row>
    <row r="42" spans="1:16">
      <c r="A42" s="11">
        <v>39</v>
      </c>
      <c r="B42" s="12" t="s">
        <v>57</v>
      </c>
      <c r="C42" s="24">
        <f>SUM(D42:P42)</f>
        <v>2</v>
      </c>
      <c r="D42" s="11"/>
      <c r="E42" s="19"/>
      <c r="F42" s="25"/>
      <c r="G42" s="13"/>
      <c r="H42" s="12"/>
      <c r="I42" s="13"/>
      <c r="J42" s="12"/>
      <c r="K42" s="13"/>
      <c r="L42" s="18"/>
      <c r="M42" s="14">
        <v>2</v>
      </c>
      <c r="N42" s="14"/>
      <c r="O42" s="14"/>
      <c r="P42" s="14"/>
    </row>
    <row r="43" spans="1:16">
      <c r="A43" s="11">
        <v>40</v>
      </c>
      <c r="B43" s="12" t="s">
        <v>58</v>
      </c>
      <c r="C43" s="24">
        <f>SUM(D43:P43)</f>
        <v>1</v>
      </c>
      <c r="D43" s="11"/>
      <c r="E43" s="19"/>
      <c r="F43" s="25"/>
      <c r="G43" s="13"/>
      <c r="H43" s="12"/>
      <c r="I43" s="13"/>
      <c r="J43" s="12"/>
      <c r="K43" s="13"/>
      <c r="L43" s="18"/>
      <c r="M43" s="14"/>
      <c r="N43" s="14"/>
      <c r="O43" s="14">
        <v>1</v>
      </c>
      <c r="P43" s="14"/>
    </row>
  </sheetData>
  <sortState xmlns:xlrd2="http://schemas.microsoft.com/office/spreadsheetml/2017/richdata2" ref="B4:P43">
    <sortCondition descending="1" ref="C4:C43"/>
    <sortCondition ref="B4:B43"/>
  </sortState>
  <phoneticPr fontId="1" type="noConversion"/>
  <pageMargins left="0.74791666666666667" right="0.74791666666666667" top="0.98402777777777772" bottom="0.98402777777777772" header="0.51180555555555551" footer="0.51180555555555551"/>
  <pageSetup paperSize="9" scale="81" firstPageNumber="0"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>
      <selection activeCell="A20" sqref="A20"/>
    </sheetView>
  </sheetViews>
  <sheetFormatPr defaultRowHeight="12.75"/>
  <cols>
    <col min="4" max="4" width="78.28515625" customWidth="1"/>
  </cols>
  <sheetData>
    <row r="1" spans="1:4">
      <c r="A1" s="4" t="s">
        <v>59</v>
      </c>
    </row>
    <row r="3" spans="1:4">
      <c r="A3" s="4" t="s">
        <v>60</v>
      </c>
    </row>
    <row r="4" spans="1:4">
      <c r="A4" s="1" t="s">
        <v>61</v>
      </c>
      <c r="B4">
        <v>1</v>
      </c>
      <c r="C4" t="s">
        <v>62</v>
      </c>
      <c r="D4" t="s">
        <v>63</v>
      </c>
    </row>
    <row r="5" spans="1:4">
      <c r="A5" s="1" t="s">
        <v>64</v>
      </c>
      <c r="B5">
        <v>0.7</v>
      </c>
      <c r="C5" t="s">
        <v>65</v>
      </c>
    </row>
    <row r="6" spans="1:4">
      <c r="A6" s="2" t="s">
        <v>66</v>
      </c>
      <c r="B6">
        <v>0.45</v>
      </c>
      <c r="C6" t="s">
        <v>67</v>
      </c>
    </row>
    <row r="7" spans="1:4">
      <c r="A7" s="1" t="s">
        <v>68</v>
      </c>
      <c r="B7">
        <v>0.25</v>
      </c>
      <c r="C7" t="s">
        <v>69</v>
      </c>
    </row>
    <row r="8" spans="1:4">
      <c r="A8" s="1" t="s">
        <v>70</v>
      </c>
      <c r="B8">
        <v>0.14000000000000001</v>
      </c>
      <c r="C8" t="s">
        <v>71</v>
      </c>
    </row>
    <row r="9" spans="1:4">
      <c r="A9" s="1" t="s">
        <v>72</v>
      </c>
      <c r="B9">
        <v>0.08</v>
      </c>
      <c r="C9" t="s">
        <v>73</v>
      </c>
    </row>
    <row r="10" spans="1:4" ht="25.5">
      <c r="D10" s="3" t="s">
        <v>74</v>
      </c>
    </row>
    <row r="11" spans="1:4">
      <c r="D11" t="s">
        <v>75</v>
      </c>
    </row>
    <row r="12" spans="1:4">
      <c r="D12" s="3" t="s">
        <v>76</v>
      </c>
    </row>
    <row r="13" spans="1:4">
      <c r="D13" t="s">
        <v>77</v>
      </c>
    </row>
    <row r="14" spans="1:4">
      <c r="D14" t="s">
        <v>78</v>
      </c>
    </row>
    <row r="15" spans="1:4">
      <c r="D15" s="3" t="s">
        <v>79</v>
      </c>
    </row>
    <row r="16" spans="1:4" ht="25.5">
      <c r="D16" s="3" t="s">
        <v>80</v>
      </c>
    </row>
    <row r="18" spans="1:4">
      <c r="A18" s="4" t="s">
        <v>81</v>
      </c>
    </row>
    <row r="19" spans="1:4">
      <c r="A19" s="1" t="s">
        <v>82</v>
      </c>
      <c r="B19" s="1" t="s">
        <v>2</v>
      </c>
    </row>
    <row r="20" spans="1:4">
      <c r="A20">
        <v>1</v>
      </c>
      <c r="B20">
        <v>60</v>
      </c>
      <c r="D20" t="s">
        <v>83</v>
      </c>
    </row>
    <row r="21" spans="1:4">
      <c r="A21">
        <v>2</v>
      </c>
      <c r="B21">
        <v>42</v>
      </c>
      <c r="D21" s="3" t="s">
        <v>84</v>
      </c>
    </row>
    <row r="22" spans="1:4">
      <c r="A22">
        <v>3</v>
      </c>
      <c r="B22">
        <v>31</v>
      </c>
      <c r="D22" s="3" t="s">
        <v>85</v>
      </c>
    </row>
    <row r="23" spans="1:4">
      <c r="A23">
        <v>4</v>
      </c>
      <c r="B23">
        <v>23</v>
      </c>
    </row>
    <row r="24" spans="1:4">
      <c r="A24">
        <v>5</v>
      </c>
      <c r="B24">
        <v>18</v>
      </c>
    </row>
    <row r="25" spans="1:4">
      <c r="A25">
        <v>6</v>
      </c>
      <c r="B25">
        <v>16</v>
      </c>
    </row>
    <row r="26" spans="1:4">
      <c r="A26">
        <v>7</v>
      </c>
      <c r="B26">
        <v>14</v>
      </c>
      <c r="D26" s="3"/>
    </row>
    <row r="27" spans="1:4">
      <c r="A27">
        <v>8</v>
      </c>
      <c r="B27">
        <v>13</v>
      </c>
      <c r="D27" s="3"/>
    </row>
    <row r="28" spans="1:4">
      <c r="A28">
        <v>9</v>
      </c>
      <c r="B28">
        <v>12</v>
      </c>
    </row>
    <row r="29" spans="1:4">
      <c r="A29">
        <v>10</v>
      </c>
      <c r="B29">
        <v>11</v>
      </c>
    </row>
    <row r="30" spans="1:4">
      <c r="A30">
        <v>11</v>
      </c>
      <c r="B30">
        <v>10</v>
      </c>
    </row>
    <row r="31" spans="1:4">
      <c r="A31">
        <v>12</v>
      </c>
      <c r="B31">
        <v>9</v>
      </c>
    </row>
    <row r="32" spans="1:4">
      <c r="A32">
        <v>13</v>
      </c>
      <c r="B32">
        <v>8</v>
      </c>
    </row>
    <row r="33" spans="1:4">
      <c r="A33">
        <v>14</v>
      </c>
      <c r="B33">
        <v>7</v>
      </c>
    </row>
    <row r="34" spans="1:4">
      <c r="A34">
        <v>15</v>
      </c>
      <c r="B34">
        <v>6</v>
      </c>
    </row>
    <row r="35" spans="1:4">
      <c r="A35">
        <v>16</v>
      </c>
      <c r="B35">
        <v>5</v>
      </c>
    </row>
    <row r="36" spans="1:4">
      <c r="A36">
        <v>17</v>
      </c>
      <c r="B36">
        <v>4</v>
      </c>
    </row>
    <row r="37" spans="1:4">
      <c r="A37">
        <v>18</v>
      </c>
      <c r="B37">
        <v>3</v>
      </c>
    </row>
    <row r="38" spans="1:4">
      <c r="A38">
        <v>19</v>
      </c>
      <c r="B38">
        <v>2</v>
      </c>
    </row>
    <row r="39" spans="1:4">
      <c r="A39">
        <v>20</v>
      </c>
      <c r="B39">
        <v>1</v>
      </c>
    </row>
    <row r="41" spans="1:4">
      <c r="A41" s="4" t="s">
        <v>86</v>
      </c>
      <c r="D41" s="3" t="s">
        <v>87</v>
      </c>
    </row>
  </sheetData>
  <phoneticPr fontId="1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1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Jürgen</dc:creator>
  <cp:keywords/>
  <dc:description/>
  <cp:lastModifiedBy/>
  <cp:revision/>
  <dcterms:created xsi:type="dcterms:W3CDTF">2009-08-30T13:45:30Z</dcterms:created>
  <dcterms:modified xsi:type="dcterms:W3CDTF">2026-09-13T14:35:41Z</dcterms:modified>
  <cp:category/>
  <cp:contentStatus/>
</cp:coreProperties>
</file>